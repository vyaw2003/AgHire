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ron\Downloads\"/>
    </mc:Choice>
  </mc:AlternateContent>
  <xr:revisionPtr revIDLastSave="0" documentId="13_ncr:1_{D005CC03-7F26-4E12-BC7D-048484190A13}" xr6:coauthVersionLast="47" xr6:coauthVersionMax="47" xr10:uidLastSave="{00000000-0000-0000-0000-000000000000}"/>
  <bookViews>
    <workbookView xWindow="-120" yWindow="-16320" windowWidth="29040" windowHeight="15720" tabRatio="562" firstSheet="1" activeTab="4" xr2:uid="{00000000-000D-0000-FFFF-FFFF00000000}"/>
  </bookViews>
  <sheets>
    <sheet name="Dashboard Summary" sheetId="1" r:id="rId1"/>
    <sheet name="Asset Management" sheetId="2" r:id="rId2"/>
    <sheet name="Paddock &amp; Crop Log" sheetId="3" r:id="rId3"/>
    <sheet name="Chemical Records" sheetId="7" r:id="rId4"/>
    <sheet name="Harvest Plan &amp; Inputs" sheetId="5" r:id="rId5"/>
    <sheet name="Harvest Ledger" sheetId="4" r:id="rId6"/>
    <sheet name="Silo Management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5" l="1"/>
  <c r="X5" i="5" s="1"/>
  <c r="X4" i="5"/>
  <c r="W4" i="5"/>
  <c r="E9" i="6"/>
  <c r="C9" i="6"/>
  <c r="AA5" i="5"/>
  <c r="AC5" i="5" s="1"/>
  <c r="P5" i="5"/>
  <c r="N5" i="5"/>
  <c r="L5" i="5"/>
  <c r="L4" i="5"/>
  <c r="N4" i="5"/>
  <c r="P4" i="5" s="1"/>
  <c r="AA4" i="5"/>
  <c r="AC4" i="5" s="1"/>
  <c r="G5" i="4"/>
  <c r="D5" i="4"/>
  <c r="G4" i="4"/>
  <c r="D4" i="4"/>
  <c r="O5" i="3"/>
  <c r="K5" i="3"/>
  <c r="O4" i="3"/>
  <c r="K4" i="3"/>
  <c r="G6" i="2"/>
  <c r="K6" i="2" s="1"/>
  <c r="M6" i="2" s="1"/>
  <c r="G5" i="2"/>
  <c r="K5" i="2" s="1"/>
  <c r="M5" i="2" s="1"/>
  <c r="G4" i="2"/>
  <c r="K4" i="2" s="1"/>
  <c r="M4" i="2" s="1"/>
  <c r="E8" i="1"/>
  <c r="D8" i="1"/>
  <c r="E7" i="1"/>
  <c r="D7" i="1"/>
  <c r="E6" i="1"/>
  <c r="E5" i="1"/>
  <c r="F8" i="1" l="1"/>
  <c r="G8" i="1" s="1"/>
  <c r="F7" i="1"/>
  <c r="G7" i="1" s="1"/>
  <c r="H5" i="3"/>
  <c r="Q5" i="3" s="1"/>
  <c r="D6" i="1" s="1"/>
  <c r="F6" i="1" s="1"/>
  <c r="G6" i="1" s="1"/>
  <c r="H4" i="3"/>
  <c r="Q4" i="3" s="1"/>
  <c r="D5" i="1" s="1"/>
  <c r="F5" i="1" s="1"/>
  <c r="G5" i="1" s="1"/>
</calcChain>
</file>

<file path=xl/sharedStrings.xml><?xml version="1.0" encoding="utf-8"?>
<sst xmlns="http://schemas.openxmlformats.org/spreadsheetml/2006/main" count="196" uniqueCount="147">
  <si>
    <t>Crop Type</t>
  </si>
  <si>
    <t>Total Area (ha)</t>
  </si>
  <si>
    <t>Avg Yield (t/ha)</t>
  </si>
  <si>
    <t>Total Inputs ($)</t>
  </si>
  <si>
    <t>Gross Revenue ($)</t>
  </si>
  <si>
    <t>Net Profit ($)</t>
  </si>
  <si>
    <t>Net Profit ($/ha)</t>
  </si>
  <si>
    <t>Wheat</t>
  </si>
  <si>
    <t>Barley</t>
  </si>
  <si>
    <t>Canola</t>
  </si>
  <si>
    <t>Lentils</t>
  </si>
  <si>
    <t>Machinery Asset Management &amp; True Hourly Operating Costs</t>
  </si>
  <si>
    <t>Asset ID</t>
  </si>
  <si>
    <t>Description</t>
  </si>
  <si>
    <t>Purchase Price ($)</t>
  </si>
  <si>
    <t>Current Age (yrs)</t>
  </si>
  <si>
    <t>Lifespan (yrs)</t>
  </si>
  <si>
    <t>Salvage Value ($)</t>
  </si>
  <si>
    <t>Annual Write-down ($)</t>
  </si>
  <si>
    <t>Avg Annual Use (hrs)</t>
  </si>
  <si>
    <t>Hourly Depreciation ($/hr)</t>
  </si>
  <si>
    <t>Est Fuel &amp; Maint ($/hr)</t>
  </si>
  <si>
    <t>Total Op Cost ($/hr)</t>
  </si>
  <si>
    <t>TRAC01</t>
  </si>
  <si>
    <t>HARV01</t>
  </si>
  <si>
    <t>Class 8 Combine Harvester</t>
  </si>
  <si>
    <t>SPRA01</t>
  </si>
  <si>
    <t>36m Self-Propelled Sprayer</t>
  </si>
  <si>
    <t>Master Paddock Log: Inputs, Chemical &amp; Fertilizer Rates per Hectare</t>
  </si>
  <si>
    <t>Log ID</t>
  </si>
  <si>
    <t>Paddock Name</t>
  </si>
  <si>
    <t>Size (ha)</t>
  </si>
  <si>
    <t>Operation</t>
  </si>
  <si>
    <t>Machine ID</t>
  </si>
  <si>
    <t>Hours Spent</t>
  </si>
  <si>
    <t>Machine Cost ($)</t>
  </si>
  <si>
    <t>Fert Type</t>
  </si>
  <si>
    <t>Fert Rate (kg/ha)</t>
  </si>
  <si>
    <t>Total Fert (kg)</t>
  </si>
  <si>
    <t>Fert $/kg</t>
  </si>
  <si>
    <t>Chem Type</t>
  </si>
  <si>
    <t>Chem Rate (L/ha)</t>
  </si>
  <si>
    <t>Total Chem (L)</t>
  </si>
  <si>
    <t>Chem $/L</t>
  </si>
  <si>
    <t>Yield (t/ha)</t>
  </si>
  <si>
    <t>L001</t>
  </si>
  <si>
    <t>North Boundary</t>
  </si>
  <si>
    <t>Sowing</t>
  </si>
  <si>
    <t>Urea</t>
  </si>
  <si>
    <t>Trifluralin</t>
  </si>
  <si>
    <t>L002</t>
  </si>
  <si>
    <t>Home Block</t>
  </si>
  <si>
    <t>DAP</t>
  </si>
  <si>
    <t>Prosaro</t>
  </si>
  <si>
    <t>Harvest Production Ledger &amp; Commodity Value Trading</t>
  </si>
  <si>
    <t>Total Yield (t)</t>
  </si>
  <si>
    <t>Yield per Hectare (t/ha)</t>
  </si>
  <si>
    <t>Grain Grade</t>
  </si>
  <si>
    <t>Price Received ($/t)</t>
  </si>
  <si>
    <t>APW1</t>
  </si>
  <si>
    <t>BAR1</t>
  </si>
  <si>
    <t xml:space="preserve">Harvest Inputs Ledger </t>
  </si>
  <si>
    <t>Staff Cost per hour</t>
  </si>
  <si>
    <t>Staff Cost per day</t>
  </si>
  <si>
    <t>Total Staff per day</t>
  </si>
  <si>
    <t>Staff Number</t>
  </si>
  <si>
    <t>Yield / ha (t/ha)</t>
  </si>
  <si>
    <t>HA / Rotar Hour</t>
  </si>
  <si>
    <t>Header Contractors Price / Rotar Hour</t>
  </si>
  <si>
    <t>Header Contractors Total Price</t>
  </si>
  <si>
    <t>Fuel/ha (l)</t>
  </si>
  <si>
    <t>Total Fuel (l)</t>
  </si>
  <si>
    <t>Avg Fuel Price</t>
  </si>
  <si>
    <t>Fuel Bill</t>
  </si>
  <si>
    <t>Grain Variety</t>
  </si>
  <si>
    <t>Calibre</t>
  </si>
  <si>
    <t>Maximus CL</t>
  </si>
  <si>
    <t>Quality</t>
  </si>
  <si>
    <t>ASW1</t>
  </si>
  <si>
    <t>Malting</t>
  </si>
  <si>
    <t>Feed</t>
  </si>
  <si>
    <t>Harvest Order</t>
  </si>
  <si>
    <t>Harvest Commence Date</t>
  </si>
  <si>
    <t>Harvest Finish Date</t>
  </si>
  <si>
    <t>Night Paddock Move</t>
  </si>
  <si>
    <t>NA</t>
  </si>
  <si>
    <t>No</t>
  </si>
  <si>
    <t>Yes</t>
  </si>
  <si>
    <t>Home Block 1</t>
  </si>
  <si>
    <t>Home Block 2</t>
  </si>
  <si>
    <t>Header Contractor</t>
  </si>
  <si>
    <t>AA Harvesting</t>
  </si>
  <si>
    <t>Email</t>
  </si>
  <si>
    <t>Phone</t>
  </si>
  <si>
    <t>aa@gmail.com</t>
  </si>
  <si>
    <t>0400000000</t>
  </si>
  <si>
    <t>Contractor Paid</t>
  </si>
  <si>
    <t>Silo 1</t>
  </si>
  <si>
    <t>Silo 2</t>
  </si>
  <si>
    <t>Silo 3</t>
  </si>
  <si>
    <t>Silo 4</t>
  </si>
  <si>
    <t>Silo 5</t>
  </si>
  <si>
    <t>Silo 6</t>
  </si>
  <si>
    <t>Silo 7</t>
  </si>
  <si>
    <t>Silo 8</t>
  </si>
  <si>
    <t>Silo 9</t>
  </si>
  <si>
    <t>Silo 10</t>
  </si>
  <si>
    <t>Capacity (t)</t>
  </si>
  <si>
    <t>Product</t>
  </si>
  <si>
    <t>Approx tonnes</t>
  </si>
  <si>
    <t>Paddock Source</t>
  </si>
  <si>
    <t>Approx Avg Moisture</t>
  </si>
  <si>
    <t>Silo Value</t>
  </si>
  <si>
    <t>Grain Price</t>
  </si>
  <si>
    <t>Allocated Buyer</t>
  </si>
  <si>
    <t>Seed</t>
  </si>
  <si>
    <t>XX Melbourne</t>
  </si>
  <si>
    <t>Starting Rotar Hours</t>
  </si>
  <si>
    <t>Finishing Rotar Hours</t>
  </si>
  <si>
    <t>Rotar Hours</t>
  </si>
  <si>
    <t>2026 - Farm Management &amp; Enterprise Master Dashboard - 2026</t>
  </si>
  <si>
    <t>JD Air Seeder</t>
  </si>
  <si>
    <t>Spreader</t>
  </si>
  <si>
    <t>280 Case Magnum</t>
  </si>
  <si>
    <t>450 Case QuadTrac</t>
  </si>
  <si>
    <t>SEED01</t>
  </si>
  <si>
    <t>SPRE01</t>
  </si>
  <si>
    <t>QUAD01</t>
  </si>
  <si>
    <t>MAGN01</t>
  </si>
  <si>
    <t>Service Costs</t>
  </si>
  <si>
    <t>Annual Maintenance</t>
  </si>
  <si>
    <t>Start of 2026</t>
  </si>
  <si>
    <t>Current</t>
  </si>
  <si>
    <t>Required</t>
  </si>
  <si>
    <t>Required by</t>
  </si>
  <si>
    <t>Audit - (standard delivery vessel)</t>
  </si>
  <si>
    <t>Start of August</t>
  </si>
  <si>
    <t>Crops to use on</t>
  </si>
  <si>
    <t>Herbicide</t>
  </si>
  <si>
    <t>Glyphosate</t>
  </si>
  <si>
    <t>Wheat, Canola, Barley</t>
  </si>
  <si>
    <t>Prothioconazole</t>
  </si>
  <si>
    <t>Fungacide</t>
  </si>
  <si>
    <t>Cost per Drum</t>
  </si>
  <si>
    <t>Imazamox + Imazapyr</t>
  </si>
  <si>
    <t>Chemical Log: Chemical per Hectare</t>
  </si>
  <si>
    <t>Order?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</si>
</sst>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164" formatCode="#,##0.0"/>
    <numFmt numFmtId="165" formatCode="\$#,##0.00"/>
    <numFmt numFmtId="166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4D3E"/>
        <bgColor rgb="FF1B4D3E"/>
      </patternFill>
    </fill>
    <fill>
      <patternFill patternType="solid">
        <fgColor rgb="FFF4F7F5"/>
        <bgColor rgb="FFF4F7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164" fontId="4" fillId="0" borderId="1" xfId="0" applyNumberFormat="1" applyFont="1" applyBorder="1"/>
    <xf numFmtId="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/>
    <xf numFmtId="164" fontId="4" fillId="3" borderId="1" xfId="0" applyNumberFormat="1" applyFont="1" applyFill="1" applyBorder="1"/>
    <xf numFmtId="4" fontId="4" fillId="3" borderId="1" xfId="0" applyNumberFormat="1" applyFont="1" applyFill="1" applyBorder="1"/>
    <xf numFmtId="165" fontId="4" fillId="3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6" fontId="4" fillId="0" borderId="1" xfId="0" applyNumberFormat="1" applyFont="1" applyBorder="1"/>
    <xf numFmtId="166" fontId="0" fillId="0" borderId="0" xfId="0" applyNumberFormat="1"/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  <xf numFmtId="14" fontId="3" fillId="0" borderId="1" xfId="0" applyNumberFormat="1" applyFont="1" applyBorder="1"/>
    <xf numFmtId="14" fontId="7" fillId="0" borderId="1" xfId="0" applyNumberFormat="1" applyFont="1" applyBorder="1"/>
    <xf numFmtId="0" fontId="7" fillId="0" borderId="1" xfId="0" applyFont="1" applyBorder="1"/>
    <xf numFmtId="166" fontId="6" fillId="0" borderId="1" xfId="0" applyNumberFormat="1" applyFont="1" applyBorder="1"/>
    <xf numFmtId="166" fontId="9" fillId="0" borderId="1" xfId="1" applyNumberFormat="1" applyBorder="1"/>
    <xf numFmtId="49" fontId="6" fillId="0" borderId="1" xfId="0" applyNumberFormat="1" applyFont="1" applyBorder="1"/>
    <xf numFmtId="49" fontId="0" fillId="0" borderId="0" xfId="0" applyNumberFormat="1"/>
    <xf numFmtId="165" fontId="6" fillId="0" borderId="1" xfId="0" applyNumberFormat="1" applyFont="1" applyBorder="1"/>
    <xf numFmtId="10" fontId="0" fillId="0" borderId="0" xfId="0" applyNumberFormat="1"/>
    <xf numFmtId="2" fontId="4" fillId="0" borderId="1" xfId="0" applyNumberFormat="1" applyFont="1" applyBorder="1"/>
    <xf numFmtId="2" fontId="0" fillId="0" borderId="0" xfId="0" applyNumberFormat="1"/>
    <xf numFmtId="0" fontId="6" fillId="0" borderId="0" xfId="0" applyFont="1"/>
    <xf numFmtId="0" fontId="7" fillId="0" borderId="0" xfId="0" applyFont="1"/>
    <xf numFmtId="6" fontId="4" fillId="0" borderId="1" xfId="0" applyNumberFormat="1" applyFont="1" applyBorder="1"/>
    <xf numFmtId="6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2" borderId="0" xfId="0" applyFont="1" applyFill="1" applyAlignment="1">
      <alignment horizontal="center" vertical="center"/>
    </xf>
    <xf numFmtId="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@gmail.com" TargetMode="External"/><Relationship Id="rId1" Type="http://schemas.openxmlformats.org/officeDocument/2006/relationships/hyperlink" Target="mailto: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D5" sqref="D5"/>
    </sheetView>
  </sheetViews>
  <sheetFormatPr defaultRowHeight="14.5" x14ac:dyDescent="0.35"/>
  <cols>
    <col min="1" max="1" width="15" customWidth="1"/>
    <col min="2" max="2" width="15.08984375" bestFit="1" customWidth="1"/>
    <col min="3" max="3" width="15.6328125" bestFit="1" customWidth="1"/>
    <col min="4" max="4" width="15.54296875" bestFit="1" customWidth="1"/>
    <col min="5" max="5" width="19.453125" bestFit="1" customWidth="1"/>
    <col min="6" max="6" width="13.36328125" bestFit="1" customWidth="1"/>
    <col min="7" max="7" width="16.1796875" bestFit="1" customWidth="1"/>
  </cols>
  <sheetData>
    <row r="1" spans="1:7" ht="20" x14ac:dyDescent="0.35">
      <c r="A1" s="33" t="s">
        <v>120</v>
      </c>
      <c r="B1" s="32"/>
      <c r="C1" s="32"/>
      <c r="D1" s="32"/>
      <c r="E1" s="32"/>
      <c r="F1" s="32"/>
      <c r="G1" s="32"/>
    </row>
    <row r="4" spans="1:7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35">
      <c r="A5" s="2" t="s">
        <v>7</v>
      </c>
      <c r="B5" s="3">
        <v>800</v>
      </c>
      <c r="C5" s="4">
        <v>4.2</v>
      </c>
      <c r="D5" s="5" t="e">
        <f>SUMIF('Paddock &amp; Crop Log'!D:D, A5, 'Paddock &amp; Crop Log'!Q:Q)</f>
        <v>#N/A</v>
      </c>
      <c r="E5" s="5">
        <f>SUMIF('Harvest Ledger'!B:B, A5, 'Harvest Ledger'!G:G)</f>
        <v>114240</v>
      </c>
      <c r="F5" s="5" t="e">
        <f>E5-D5</f>
        <v>#N/A</v>
      </c>
      <c r="G5" s="5" t="e">
        <f>IF(B5&gt;0, F5/B5, 0)</f>
        <v>#N/A</v>
      </c>
    </row>
    <row r="6" spans="1:7" x14ac:dyDescent="0.35">
      <c r="A6" s="6" t="s">
        <v>8</v>
      </c>
      <c r="B6" s="7">
        <v>678</v>
      </c>
      <c r="C6" s="8">
        <v>5.8</v>
      </c>
      <c r="D6" s="9" t="e">
        <f>SUMIF('Paddock &amp; Crop Log'!D:D, A6, 'Paddock &amp; Crop Log'!Q:Q)</f>
        <v>#N/A</v>
      </c>
      <c r="E6" s="9">
        <f>SUMIF('Harvest Ledger'!B:B, A6, 'Harvest Ledger'!G:G)</f>
        <v>182700</v>
      </c>
      <c r="F6" s="9" t="e">
        <f>E6-D6</f>
        <v>#N/A</v>
      </c>
      <c r="G6" s="9" t="e">
        <f>IF(B6&gt;0, F6/B6, 0)</f>
        <v>#N/A</v>
      </c>
    </row>
    <row r="7" spans="1:7" x14ac:dyDescent="0.35">
      <c r="A7" s="2" t="s">
        <v>9</v>
      </c>
      <c r="B7" s="3">
        <v>805</v>
      </c>
      <c r="C7" s="4">
        <v>2.1</v>
      </c>
      <c r="D7" s="5">
        <f>SUMIF('Paddock &amp; Crop Log'!D:D, A7, 'Paddock &amp; Crop Log'!Q:Q)</f>
        <v>0</v>
      </c>
      <c r="E7" s="5">
        <f>SUMIF('Harvest Ledger'!B:B, A7, 'Harvest Ledger'!G:G)</f>
        <v>0</v>
      </c>
      <c r="F7" s="5">
        <f>E7-D7</f>
        <v>0</v>
      </c>
      <c r="G7" s="5">
        <f>IF(B7&gt;0, F7/B7, 0)</f>
        <v>0</v>
      </c>
    </row>
    <row r="8" spans="1:7" x14ac:dyDescent="0.35">
      <c r="A8" s="6" t="s">
        <v>10</v>
      </c>
      <c r="B8" s="7">
        <v>245</v>
      </c>
      <c r="C8" s="8">
        <v>1.34</v>
      </c>
      <c r="D8" s="9">
        <f>SUMIF('Paddock &amp; Crop Log'!D:D, A8, 'Paddock &amp; Crop Log'!Q:Q)</f>
        <v>0</v>
      </c>
      <c r="E8" s="9">
        <f>SUMIF('Harvest Ledger'!B:B, A8, 'Harvest Ledger'!G:G)</f>
        <v>0</v>
      </c>
      <c r="F8" s="9">
        <f>E8-D8</f>
        <v>0</v>
      </c>
      <c r="G8" s="9">
        <f>IF(B8&gt;0, F8/B8, 0)</f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J8" sqref="J8"/>
    </sheetView>
  </sheetViews>
  <sheetFormatPr defaultRowHeight="14.5" x14ac:dyDescent="0.35"/>
  <cols>
    <col min="1" max="1" width="8.81640625" bestFit="1" customWidth="1"/>
    <col min="2" max="2" width="23.26953125" bestFit="1" customWidth="1"/>
    <col min="3" max="3" width="18.90625" bestFit="1" customWidth="1"/>
    <col min="4" max="4" width="17.7265625" bestFit="1" customWidth="1"/>
    <col min="5" max="5" width="14.1796875" bestFit="1" customWidth="1"/>
    <col min="6" max="6" width="17.81640625" bestFit="1" customWidth="1"/>
    <col min="7" max="7" width="22.36328125" bestFit="1" customWidth="1"/>
    <col min="8" max="8" width="21.54296875" bestFit="1" customWidth="1"/>
    <col min="9" max="9" width="14.7265625" bestFit="1" customWidth="1"/>
    <col min="10" max="10" width="20.81640625" bestFit="1" customWidth="1"/>
    <col min="11" max="11" width="26.26953125" bestFit="1" customWidth="1"/>
    <col min="12" max="12" width="22.7265625" bestFit="1" customWidth="1"/>
    <col min="13" max="13" width="20.1796875" bestFit="1" customWidth="1"/>
  </cols>
  <sheetData>
    <row r="1" spans="1:13" ht="20" x14ac:dyDescent="0.35">
      <c r="A1" s="31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3" spans="1:13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4" t="s">
        <v>129</v>
      </c>
      <c r="J3" s="14" t="s">
        <v>130</v>
      </c>
      <c r="K3" s="1" t="s">
        <v>20</v>
      </c>
      <c r="L3" s="1" t="s">
        <v>21</v>
      </c>
      <c r="M3" s="1" t="s">
        <v>22</v>
      </c>
    </row>
    <row r="4" spans="1:13" x14ac:dyDescent="0.35">
      <c r="A4" s="18" t="s">
        <v>127</v>
      </c>
      <c r="B4" s="15" t="s">
        <v>124</v>
      </c>
      <c r="C4" s="5">
        <v>280000</v>
      </c>
      <c r="D4" s="10">
        <v>4</v>
      </c>
      <c r="E4" s="10">
        <v>15</v>
      </c>
      <c r="F4" s="5">
        <v>60000</v>
      </c>
      <c r="G4" s="5">
        <f>(C4-F4)/E4</f>
        <v>14666.666666666666</v>
      </c>
      <c r="H4" s="10">
        <v>500</v>
      </c>
      <c r="I4" s="29">
        <v>1200</v>
      </c>
      <c r="J4" s="29"/>
      <c r="K4" s="5">
        <f>G4/H4</f>
        <v>29.333333333333332</v>
      </c>
      <c r="L4" s="5">
        <v>45</v>
      </c>
      <c r="M4" s="5">
        <f>K4+L4</f>
        <v>74.333333333333329</v>
      </c>
    </row>
    <row r="5" spans="1:13" x14ac:dyDescent="0.35">
      <c r="A5" s="2" t="s">
        <v>24</v>
      </c>
      <c r="B5" s="10" t="s">
        <v>25</v>
      </c>
      <c r="C5" s="5">
        <v>520000</v>
      </c>
      <c r="D5" s="10">
        <v>2</v>
      </c>
      <c r="E5" s="10">
        <v>10</v>
      </c>
      <c r="F5" s="5">
        <v>120000</v>
      </c>
      <c r="G5" s="5">
        <f>(C5-F5)/E5</f>
        <v>40000</v>
      </c>
      <c r="H5" s="10">
        <v>300</v>
      </c>
      <c r="I5" s="29">
        <v>1200</v>
      </c>
      <c r="J5" s="29">
        <v>20000</v>
      </c>
      <c r="K5" s="5">
        <f>G5/H5</f>
        <v>133.33333333333334</v>
      </c>
      <c r="L5" s="5">
        <v>75</v>
      </c>
      <c r="M5" s="5">
        <f>K5+L5</f>
        <v>208.33333333333334</v>
      </c>
    </row>
    <row r="6" spans="1:13" x14ac:dyDescent="0.35">
      <c r="A6" s="2" t="s">
        <v>26</v>
      </c>
      <c r="B6" s="10" t="s">
        <v>27</v>
      </c>
      <c r="C6" s="5">
        <v>340000</v>
      </c>
      <c r="D6" s="10">
        <v>3</v>
      </c>
      <c r="E6" s="10">
        <v>12</v>
      </c>
      <c r="F6" s="5">
        <v>80000</v>
      </c>
      <c r="G6" s="5">
        <f>(C6-F6)/E6</f>
        <v>21666.666666666668</v>
      </c>
      <c r="H6" s="10">
        <v>400</v>
      </c>
      <c r="I6" s="29">
        <v>1200</v>
      </c>
      <c r="J6" s="29"/>
      <c r="K6" s="5">
        <f>G6/H6</f>
        <v>54.166666666666671</v>
      </c>
      <c r="L6" s="5">
        <v>35</v>
      </c>
      <c r="M6" s="5">
        <f>K6+L6</f>
        <v>89.166666666666671</v>
      </c>
    </row>
    <row r="7" spans="1:13" x14ac:dyDescent="0.35">
      <c r="A7" s="28" t="s">
        <v>125</v>
      </c>
      <c r="B7" s="27" t="s">
        <v>121</v>
      </c>
      <c r="J7" s="29">
        <v>5000</v>
      </c>
    </row>
    <row r="8" spans="1:13" x14ac:dyDescent="0.35">
      <c r="A8" s="28" t="s">
        <v>126</v>
      </c>
      <c r="B8" s="27" t="s">
        <v>122</v>
      </c>
      <c r="J8" s="29">
        <v>300</v>
      </c>
    </row>
    <row r="9" spans="1:13" x14ac:dyDescent="0.35">
      <c r="A9" s="28" t="s">
        <v>128</v>
      </c>
      <c r="B9" s="27" t="s">
        <v>123</v>
      </c>
      <c r="I9" s="29">
        <v>1200</v>
      </c>
      <c r="J9" s="30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"/>
  <sheetViews>
    <sheetView topLeftCell="E1" workbookViewId="0">
      <selection sqref="A1:R1"/>
    </sheetView>
  </sheetViews>
  <sheetFormatPr defaultRowHeight="14.5" x14ac:dyDescent="0.35"/>
  <cols>
    <col min="1" max="1" width="15" customWidth="1"/>
    <col min="2" max="2" width="18" customWidth="1"/>
    <col min="3" max="7" width="15" customWidth="1"/>
    <col min="8" max="8" width="17.453125" bestFit="1" customWidth="1"/>
    <col min="9" max="9" width="15" customWidth="1"/>
    <col min="10" max="10" width="21" customWidth="1"/>
    <col min="11" max="11" width="19" customWidth="1"/>
    <col min="12" max="13" width="15" customWidth="1"/>
    <col min="14" max="14" width="20" customWidth="1"/>
    <col min="15" max="15" width="18" customWidth="1"/>
    <col min="16" max="16" width="15" customWidth="1"/>
    <col min="17" max="17" width="23" customWidth="1"/>
    <col min="18" max="18" width="16" customWidth="1"/>
  </cols>
  <sheetData>
    <row r="1" spans="1:18" ht="20" x14ac:dyDescent="0.35">
      <c r="A1" s="31" t="s">
        <v>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3" spans="1:18" x14ac:dyDescent="0.35">
      <c r="A3" s="1" t="s">
        <v>29</v>
      </c>
      <c r="B3" s="1" t="s">
        <v>30</v>
      </c>
      <c r="C3" s="1" t="s">
        <v>31</v>
      </c>
      <c r="D3" s="1" t="s">
        <v>0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3</v>
      </c>
      <c r="R3" s="1" t="s">
        <v>44</v>
      </c>
    </row>
    <row r="4" spans="1:18" x14ac:dyDescent="0.35">
      <c r="A4" s="2" t="s">
        <v>45</v>
      </c>
      <c r="B4" s="10" t="s">
        <v>46</v>
      </c>
      <c r="C4" s="3">
        <v>120</v>
      </c>
      <c r="D4" s="10" t="s">
        <v>7</v>
      </c>
      <c r="E4" s="10" t="s">
        <v>47</v>
      </c>
      <c r="F4" s="10" t="s">
        <v>23</v>
      </c>
      <c r="G4" s="3">
        <v>12</v>
      </c>
      <c r="H4" s="5" t="e">
        <f>G4*VLOOKUP(F4,'Asset Management'!A:M,11,FALSE)</f>
        <v>#N/A</v>
      </c>
      <c r="I4" s="10" t="s">
        <v>48</v>
      </c>
      <c r="J4" s="11">
        <v>80</v>
      </c>
      <c r="K4" s="11">
        <f>C4*J4</f>
        <v>9600</v>
      </c>
      <c r="L4" s="5">
        <v>0.65</v>
      </c>
      <c r="M4" s="10" t="s">
        <v>49</v>
      </c>
      <c r="N4" s="4">
        <v>1.5</v>
      </c>
      <c r="O4" s="3">
        <f>C4*N4</f>
        <v>180</v>
      </c>
      <c r="P4" s="5">
        <v>4.5</v>
      </c>
      <c r="Q4" s="5" t="e">
        <f>H4+(K4*L4)+(O4*P4)</f>
        <v>#N/A</v>
      </c>
      <c r="R4" s="4">
        <v>2.8</v>
      </c>
    </row>
    <row r="5" spans="1:18" x14ac:dyDescent="0.35">
      <c r="A5" s="2" t="s">
        <v>50</v>
      </c>
      <c r="B5" s="10" t="s">
        <v>51</v>
      </c>
      <c r="C5" s="3">
        <v>150</v>
      </c>
      <c r="D5" s="10" t="s">
        <v>8</v>
      </c>
      <c r="E5" s="10" t="s">
        <v>47</v>
      </c>
      <c r="F5" s="10" t="s">
        <v>23</v>
      </c>
      <c r="G5" s="3">
        <v>15</v>
      </c>
      <c r="H5" s="5" t="e">
        <f>G5*VLOOKUP(F5,'Asset Management'!A:M,11,FALSE)</f>
        <v>#N/A</v>
      </c>
      <c r="I5" s="10" t="s">
        <v>52</v>
      </c>
      <c r="J5" s="11">
        <v>70</v>
      </c>
      <c r="K5" s="11">
        <f>C5*J5</f>
        <v>10500</v>
      </c>
      <c r="L5" s="5">
        <v>0.85</v>
      </c>
      <c r="M5" s="10" t="s">
        <v>53</v>
      </c>
      <c r="N5" s="4">
        <v>1</v>
      </c>
      <c r="O5" s="3">
        <f>C5*N5</f>
        <v>150</v>
      </c>
      <c r="P5" s="5">
        <v>12</v>
      </c>
      <c r="Q5" s="5" t="e">
        <f>H5+(K5*L5)+(O5*P5)</f>
        <v>#N/A</v>
      </c>
      <c r="R5" s="4">
        <v>4.2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8F2A-A40C-4759-A75B-3BAAE1BA5F48}">
  <dimension ref="A1:R7"/>
  <sheetViews>
    <sheetView workbookViewId="0">
      <selection activeCell="G8" sqref="G8"/>
    </sheetView>
  </sheetViews>
  <sheetFormatPr defaultRowHeight="14.5" x14ac:dyDescent="0.35"/>
  <cols>
    <col min="2" max="3" width="11.81640625" bestFit="1" customWidth="1"/>
    <col min="4" max="4" width="15.26953125" bestFit="1" customWidth="1"/>
    <col min="5" max="5" width="16.7265625" customWidth="1"/>
    <col min="6" max="6" width="9.90625" bestFit="1" customWidth="1"/>
    <col min="7" max="7" width="12.81640625" bestFit="1" customWidth="1"/>
    <col min="8" max="8" width="16.6328125" bestFit="1" customWidth="1"/>
    <col min="9" max="9" width="15.08984375" bestFit="1" customWidth="1"/>
  </cols>
  <sheetData>
    <row r="1" spans="1:18" ht="20" x14ac:dyDescent="0.35">
      <c r="A1" s="31" t="s">
        <v>145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3" spans="1:18" x14ac:dyDescent="0.35">
      <c r="D3" t="s">
        <v>135</v>
      </c>
    </row>
    <row r="4" spans="1:18" x14ac:dyDescent="0.35">
      <c r="B4" s="1" t="s">
        <v>40</v>
      </c>
      <c r="C4" s="1" t="s">
        <v>40</v>
      </c>
      <c r="D4" s="1" t="s">
        <v>131</v>
      </c>
      <c r="E4" s="1" t="s">
        <v>132</v>
      </c>
      <c r="F4" s="1" t="s">
        <v>133</v>
      </c>
      <c r="G4" s="1" t="s">
        <v>146</v>
      </c>
      <c r="H4" s="1" t="s">
        <v>134</v>
      </c>
      <c r="I4" s="1" t="s">
        <v>137</v>
      </c>
      <c r="J4" s="1" t="s">
        <v>143</v>
      </c>
    </row>
    <row r="5" spans="1:18" x14ac:dyDescent="0.35">
      <c r="B5" s="10" t="s">
        <v>138</v>
      </c>
      <c r="C5" s="10" t="s">
        <v>139</v>
      </c>
      <c r="D5" s="4">
        <v>8</v>
      </c>
      <c r="E5" s="3">
        <v>10</v>
      </c>
      <c r="F5" s="3">
        <v>10</v>
      </c>
      <c r="G5" t="s">
        <v>87</v>
      </c>
      <c r="H5" t="s">
        <v>136</v>
      </c>
      <c r="I5" t="s">
        <v>140</v>
      </c>
      <c r="J5" s="34">
        <v>4000</v>
      </c>
    </row>
    <row r="6" spans="1:18" x14ac:dyDescent="0.35">
      <c r="B6" s="10" t="s">
        <v>142</v>
      </c>
      <c r="C6" t="s">
        <v>141</v>
      </c>
      <c r="D6" s="4">
        <v>4</v>
      </c>
      <c r="E6" s="3">
        <v>12</v>
      </c>
      <c r="F6" s="3">
        <v>12</v>
      </c>
      <c r="G6" t="s">
        <v>86</v>
      </c>
      <c r="H6" t="s">
        <v>136</v>
      </c>
      <c r="I6" t="s">
        <v>140</v>
      </c>
      <c r="J6" s="34">
        <v>4000</v>
      </c>
    </row>
    <row r="7" spans="1:18" x14ac:dyDescent="0.35">
      <c r="B7" s="10" t="s">
        <v>138</v>
      </c>
      <c r="C7" t="s">
        <v>144</v>
      </c>
      <c r="D7" s="4">
        <v>4</v>
      </c>
      <c r="E7" s="3">
        <v>12</v>
      </c>
      <c r="F7" s="3">
        <v>12</v>
      </c>
      <c r="G7" t="s">
        <v>87</v>
      </c>
      <c r="H7" t="s">
        <v>136</v>
      </c>
      <c r="I7" t="s">
        <v>140</v>
      </c>
      <c r="J7" s="34">
        <v>4001</v>
      </c>
    </row>
  </sheetData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0CEC-C2FE-4F51-A754-FCEB4D3FF2DF}">
  <dimension ref="A1:AC23"/>
  <sheetViews>
    <sheetView tabSelected="1" zoomScale="85" zoomScaleNormal="85" workbookViewId="0">
      <selection activeCell="X15" sqref="X15"/>
    </sheetView>
  </sheetViews>
  <sheetFormatPr defaultRowHeight="14.5" x14ac:dyDescent="0.35"/>
  <cols>
    <col min="1" max="1" width="14" bestFit="1" customWidth="1"/>
    <col min="2" max="2" width="24.26953125" bestFit="1" customWidth="1"/>
    <col min="3" max="3" width="20.453125" bestFit="1" customWidth="1"/>
    <col min="4" max="4" width="20.453125" customWidth="1"/>
    <col min="5" max="5" width="15.90625" customWidth="1"/>
    <col min="6" max="6" width="11.453125" bestFit="1" customWidth="1"/>
    <col min="7" max="7" width="15" customWidth="1"/>
    <col min="8" max="8" width="7.90625" bestFit="1" customWidth="1"/>
    <col min="9" max="9" width="9.36328125" bestFit="1" customWidth="1"/>
    <col min="10" max="10" width="16.453125" customWidth="1"/>
    <col min="11" max="12" width="17" customWidth="1"/>
    <col min="13" max="19" width="15" customWidth="1"/>
    <col min="20" max="20" width="39" bestFit="1" customWidth="1"/>
    <col min="21" max="21" width="24" customWidth="1"/>
    <col min="22" max="22" width="20.08984375" bestFit="1" customWidth="1"/>
    <col min="23" max="23" width="21.26953125" bestFit="1" customWidth="1"/>
    <col min="24" max="24" width="21.26953125" customWidth="1"/>
    <col min="25" max="25" width="15.54296875" bestFit="1" customWidth="1"/>
    <col min="26" max="26" width="18.6328125" bestFit="1" customWidth="1"/>
    <col min="27" max="27" width="17.6328125" bestFit="1" customWidth="1"/>
    <col min="28" max="28" width="13.1796875" bestFit="1" customWidth="1"/>
    <col min="29" max="29" width="21" customWidth="1"/>
  </cols>
  <sheetData>
    <row r="1" spans="1:29" ht="20" x14ac:dyDescent="0.35">
      <c r="A1" s="31" t="s">
        <v>61</v>
      </c>
      <c r="B1" s="31"/>
      <c r="C1" s="31"/>
      <c r="D1" s="31"/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3" spans="1:29" x14ac:dyDescent="0.35">
      <c r="A3" s="14" t="s">
        <v>81</v>
      </c>
      <c r="B3" s="14" t="s">
        <v>82</v>
      </c>
      <c r="C3" s="14" t="s">
        <v>83</v>
      </c>
      <c r="D3" s="14" t="s">
        <v>84</v>
      </c>
      <c r="E3" s="1" t="s">
        <v>30</v>
      </c>
      <c r="F3" s="1" t="s">
        <v>0</v>
      </c>
      <c r="G3" s="14" t="s">
        <v>74</v>
      </c>
      <c r="H3" s="14" t="s">
        <v>77</v>
      </c>
      <c r="I3" s="1" t="s">
        <v>31</v>
      </c>
      <c r="J3" s="1" t="s">
        <v>67</v>
      </c>
      <c r="K3" s="1" t="s">
        <v>66</v>
      </c>
      <c r="L3" s="1" t="s">
        <v>55</v>
      </c>
      <c r="M3" s="1" t="s">
        <v>70</v>
      </c>
      <c r="N3" s="1" t="s">
        <v>71</v>
      </c>
      <c r="O3" s="1" t="s">
        <v>72</v>
      </c>
      <c r="P3" s="1" t="s">
        <v>73</v>
      </c>
      <c r="Q3" s="14" t="s">
        <v>90</v>
      </c>
      <c r="R3" s="14" t="s">
        <v>92</v>
      </c>
      <c r="S3" s="14" t="s">
        <v>93</v>
      </c>
      <c r="T3" s="1" t="s">
        <v>68</v>
      </c>
      <c r="U3" s="14" t="s">
        <v>117</v>
      </c>
      <c r="V3" s="14" t="s">
        <v>118</v>
      </c>
      <c r="W3" s="14" t="s">
        <v>119</v>
      </c>
      <c r="X3" s="1" t="s">
        <v>69</v>
      </c>
      <c r="Y3" s="14" t="s">
        <v>96</v>
      </c>
      <c r="Z3" s="1" t="s">
        <v>62</v>
      </c>
      <c r="AA3" s="1" t="s">
        <v>63</v>
      </c>
      <c r="AB3" s="1" t="s">
        <v>65</v>
      </c>
      <c r="AC3" s="1" t="s">
        <v>64</v>
      </c>
    </row>
    <row r="4" spans="1:29" x14ac:dyDescent="0.35">
      <c r="A4" s="2">
        <v>1</v>
      </c>
      <c r="B4" s="16">
        <v>46337</v>
      </c>
      <c r="C4" s="16">
        <v>46337</v>
      </c>
      <c r="D4" s="17" t="s">
        <v>85</v>
      </c>
      <c r="E4" s="2" t="s">
        <v>46</v>
      </c>
      <c r="F4" s="10" t="s">
        <v>7</v>
      </c>
      <c r="G4" t="s">
        <v>75</v>
      </c>
      <c r="H4" t="s">
        <v>78</v>
      </c>
      <c r="I4" s="3">
        <v>120</v>
      </c>
      <c r="J4" s="3">
        <v>10</v>
      </c>
      <c r="K4" s="4">
        <v>4.0999999999999996</v>
      </c>
      <c r="L4" s="4">
        <f>SUM(K4*I4)</f>
        <v>491.99999999999994</v>
      </c>
      <c r="M4" s="10">
        <v>50</v>
      </c>
      <c r="N4" s="10">
        <f>SUM(M4*I4)</f>
        <v>6000</v>
      </c>
      <c r="O4" s="12">
        <v>2.2000000000000002</v>
      </c>
      <c r="P4" s="12">
        <f>SUM(N4*O4)</f>
        <v>13200.000000000002</v>
      </c>
      <c r="Q4" s="19" t="s">
        <v>91</v>
      </c>
      <c r="R4" s="20" t="s">
        <v>94</v>
      </c>
      <c r="S4" s="21" t="s">
        <v>95</v>
      </c>
      <c r="T4" s="5">
        <v>650</v>
      </c>
      <c r="U4" s="25">
        <v>123</v>
      </c>
      <c r="V4" s="25">
        <v>130.1</v>
      </c>
      <c r="W4" s="25">
        <f>SUM(V4-U4)</f>
        <v>7.0999999999999943</v>
      </c>
      <c r="X4" s="5">
        <f>SUM(T4*W4)</f>
        <v>4614.9999999999964</v>
      </c>
      <c r="Y4" s="23" t="s">
        <v>86</v>
      </c>
      <c r="Z4" s="5">
        <v>35</v>
      </c>
      <c r="AA4" s="13">
        <f>SUM(Z4*16)</f>
        <v>560</v>
      </c>
      <c r="AB4">
        <v>3</v>
      </c>
      <c r="AC4" s="13">
        <f>SUM(AA4*AB4)</f>
        <v>1680</v>
      </c>
    </row>
    <row r="5" spans="1:29" x14ac:dyDescent="0.35">
      <c r="A5" s="2">
        <v>2</v>
      </c>
      <c r="B5" s="16">
        <v>46337</v>
      </c>
      <c r="C5" s="16">
        <v>46338</v>
      </c>
      <c r="D5" s="17" t="s">
        <v>86</v>
      </c>
      <c r="E5" s="18" t="s">
        <v>88</v>
      </c>
      <c r="F5" s="10" t="s">
        <v>8</v>
      </c>
      <c r="G5" s="15" t="s">
        <v>76</v>
      </c>
      <c r="H5" s="15" t="s">
        <v>79</v>
      </c>
      <c r="I5" s="3">
        <v>150</v>
      </c>
      <c r="J5" s="3">
        <v>10</v>
      </c>
      <c r="K5" s="4">
        <v>5.81</v>
      </c>
      <c r="L5" s="4">
        <f>SUM(K5*I5)</f>
        <v>871.49999999999989</v>
      </c>
      <c r="M5" s="10">
        <v>50</v>
      </c>
      <c r="N5" s="10">
        <f>SUM(M5*I5)</f>
        <v>7500</v>
      </c>
      <c r="O5" s="12">
        <v>2.2000000000000002</v>
      </c>
      <c r="P5" s="12">
        <f>SUM(N5*O5)</f>
        <v>16500</v>
      </c>
      <c r="Q5" s="19" t="s">
        <v>91</v>
      </c>
      <c r="R5" s="20" t="s">
        <v>94</v>
      </c>
      <c r="S5" s="21" t="s">
        <v>95</v>
      </c>
      <c r="T5" s="5">
        <v>650</v>
      </c>
      <c r="U5" s="25">
        <v>130.1</v>
      </c>
      <c r="V5" s="25">
        <v>142</v>
      </c>
      <c r="W5" s="25">
        <f>SUM(V5-U5)</f>
        <v>11.900000000000006</v>
      </c>
      <c r="X5" s="5">
        <f>SUM(T5*W5)</f>
        <v>7735.0000000000036</v>
      </c>
      <c r="Y5" s="23" t="s">
        <v>86</v>
      </c>
      <c r="Z5" s="5">
        <v>35</v>
      </c>
      <c r="AA5" s="13">
        <f>SUM(Z5*16)</f>
        <v>560</v>
      </c>
      <c r="AB5">
        <v>3</v>
      </c>
      <c r="AC5" s="13">
        <f>SUM(AA5*AB5)</f>
        <v>1680</v>
      </c>
    </row>
    <row r="6" spans="1:29" x14ac:dyDescent="0.35">
      <c r="A6">
        <v>3</v>
      </c>
      <c r="B6" s="16">
        <v>46338</v>
      </c>
      <c r="C6" s="16">
        <v>46338</v>
      </c>
      <c r="D6" t="s">
        <v>87</v>
      </c>
      <c r="E6" s="18" t="s">
        <v>89</v>
      </c>
      <c r="F6" s="10" t="s">
        <v>8</v>
      </c>
      <c r="H6" s="15" t="s">
        <v>80</v>
      </c>
      <c r="O6" s="13"/>
      <c r="P6" s="13"/>
      <c r="Q6" s="13"/>
      <c r="R6" s="13"/>
      <c r="S6" s="22"/>
      <c r="V6" s="26"/>
      <c r="W6" s="26"/>
      <c r="X6" s="26"/>
      <c r="AA6" s="13"/>
      <c r="AC6" s="13"/>
    </row>
    <row r="7" spans="1:29" x14ac:dyDescent="0.35">
      <c r="O7" s="13"/>
      <c r="P7" s="13"/>
      <c r="Q7" s="13"/>
      <c r="R7" s="13"/>
      <c r="S7" s="22"/>
      <c r="V7" s="26"/>
      <c r="W7" s="26"/>
      <c r="X7" s="26"/>
      <c r="AA7" s="13"/>
      <c r="AC7" s="13"/>
    </row>
    <row r="8" spans="1:29" x14ac:dyDescent="0.35">
      <c r="O8" s="13"/>
      <c r="P8" s="13"/>
      <c r="Q8" s="13"/>
      <c r="R8" s="13"/>
      <c r="S8" s="22"/>
      <c r="V8" s="26"/>
      <c r="W8" s="26"/>
      <c r="X8" s="26"/>
      <c r="AA8" s="13"/>
      <c r="AC8" s="13"/>
    </row>
    <row r="9" spans="1:29" x14ac:dyDescent="0.35">
      <c r="O9" s="13"/>
      <c r="P9" s="13"/>
      <c r="Q9" s="13"/>
      <c r="R9" s="13"/>
      <c r="S9" s="22"/>
      <c r="V9" s="26"/>
      <c r="W9" s="26"/>
      <c r="X9" s="26"/>
      <c r="AA9" s="13"/>
      <c r="AC9" s="13"/>
    </row>
    <row r="10" spans="1:29" x14ac:dyDescent="0.35">
      <c r="O10" s="13"/>
      <c r="P10" s="13"/>
      <c r="Q10" s="13"/>
      <c r="R10" s="13"/>
      <c r="S10" s="22"/>
      <c r="V10" s="26"/>
      <c r="W10" s="26"/>
      <c r="X10" s="26"/>
      <c r="AA10" s="13"/>
      <c r="AC10" s="13"/>
    </row>
    <row r="11" spans="1:29" x14ac:dyDescent="0.35">
      <c r="O11" s="13"/>
      <c r="P11" s="13"/>
      <c r="Q11" s="13"/>
      <c r="R11" s="13"/>
      <c r="S11" s="22"/>
      <c r="V11" s="26"/>
      <c r="W11" s="26"/>
      <c r="X11" s="26"/>
      <c r="AA11" s="13"/>
      <c r="AC11" s="13"/>
    </row>
    <row r="12" spans="1:29" x14ac:dyDescent="0.35">
      <c r="O12" s="13"/>
      <c r="P12" s="13"/>
      <c r="Q12" s="13"/>
      <c r="R12" s="13"/>
      <c r="S12" s="22"/>
      <c r="V12" s="26"/>
      <c r="W12" s="26"/>
      <c r="X12" s="26"/>
      <c r="AA12" s="13"/>
      <c r="AC12" s="13"/>
    </row>
    <row r="13" spans="1:29" x14ac:dyDescent="0.35">
      <c r="O13" s="13"/>
      <c r="P13" s="13"/>
      <c r="Q13" s="13"/>
      <c r="R13" s="13"/>
      <c r="S13" s="22"/>
      <c r="V13" s="26"/>
      <c r="W13" s="26"/>
      <c r="X13" s="26"/>
      <c r="AA13" s="13"/>
      <c r="AC13" s="13"/>
    </row>
    <row r="14" spans="1:29" x14ac:dyDescent="0.35">
      <c r="O14" s="13"/>
      <c r="P14" s="13"/>
      <c r="Q14" s="13"/>
      <c r="R14" s="13"/>
      <c r="S14" s="22"/>
      <c r="V14" s="26"/>
      <c r="W14" s="26"/>
      <c r="X14" s="26"/>
      <c r="AA14" s="13"/>
      <c r="AC14" s="13"/>
    </row>
    <row r="15" spans="1:29" x14ac:dyDescent="0.35">
      <c r="O15" s="13"/>
      <c r="P15" s="13"/>
      <c r="Q15" s="13"/>
      <c r="R15" s="13"/>
      <c r="S15" s="22"/>
      <c r="V15" s="26"/>
      <c r="W15" s="26"/>
      <c r="X15" s="26"/>
      <c r="AC15" s="13"/>
    </row>
    <row r="16" spans="1:29" x14ac:dyDescent="0.35">
      <c r="O16" s="13"/>
      <c r="P16" s="13"/>
      <c r="Q16" s="13"/>
      <c r="R16" s="13"/>
      <c r="S16" s="22"/>
      <c r="V16" s="26"/>
      <c r="W16" s="26"/>
      <c r="X16" s="26"/>
      <c r="AC16" s="13"/>
    </row>
    <row r="17" spans="15:29" x14ac:dyDescent="0.35">
      <c r="O17" s="13"/>
      <c r="P17" s="13"/>
      <c r="Q17" s="13"/>
      <c r="R17" s="13"/>
      <c r="S17" s="22"/>
      <c r="V17" s="26"/>
      <c r="W17" s="26"/>
      <c r="X17" s="26"/>
      <c r="AC17" s="13"/>
    </row>
    <row r="18" spans="15:29" x14ac:dyDescent="0.35">
      <c r="P18" s="13"/>
      <c r="Q18" s="13"/>
      <c r="R18" s="13"/>
      <c r="S18" s="22"/>
      <c r="V18" s="26"/>
      <c r="W18" s="26"/>
      <c r="X18" s="26"/>
      <c r="AC18" s="13"/>
    </row>
    <row r="19" spans="15:29" x14ac:dyDescent="0.35">
      <c r="P19" s="13"/>
      <c r="Q19" s="13"/>
      <c r="R19" s="13"/>
      <c r="S19" s="22"/>
      <c r="V19" s="26"/>
      <c r="W19" s="26"/>
      <c r="X19" s="26"/>
      <c r="AC19" s="13"/>
    </row>
    <row r="20" spans="15:29" x14ac:dyDescent="0.35">
      <c r="P20" s="13"/>
      <c r="Q20" s="13"/>
      <c r="R20" s="13"/>
      <c r="S20" s="22"/>
      <c r="V20" s="26"/>
      <c r="W20" s="26"/>
      <c r="X20" s="26"/>
      <c r="AC20" s="13"/>
    </row>
    <row r="21" spans="15:29" x14ac:dyDescent="0.35">
      <c r="P21" s="13"/>
      <c r="Q21" s="13"/>
      <c r="R21" s="13"/>
      <c r="S21" s="22"/>
      <c r="V21" s="26"/>
      <c r="W21" s="26"/>
      <c r="X21" s="26"/>
      <c r="AC21" s="13"/>
    </row>
    <row r="22" spans="15:29" x14ac:dyDescent="0.35">
      <c r="P22" s="13"/>
      <c r="Q22" s="13"/>
      <c r="R22" s="13"/>
      <c r="V22" s="26"/>
      <c r="W22" s="26"/>
      <c r="X22" s="26"/>
      <c r="AC22" s="13"/>
    </row>
    <row r="23" spans="15:29" x14ac:dyDescent="0.35">
      <c r="P23" s="13"/>
      <c r="Q23" s="13"/>
      <c r="R23" s="13"/>
      <c r="S23" s="13"/>
    </row>
  </sheetData>
  <mergeCells count="1">
    <mergeCell ref="A1:AC1"/>
  </mergeCells>
  <phoneticPr fontId="8" type="noConversion"/>
  <hyperlinks>
    <hyperlink ref="R4" r:id="rId1" xr:uid="{1990A9CE-FED7-4809-9246-F821EF8D39DB}"/>
    <hyperlink ref="R5" r:id="rId2" xr:uid="{349C1145-9B49-4205-8AC2-F8C5AE138119}"/>
  </hyperlinks>
  <pageMargins left="0.75" right="0.75" top="1" bottom="1" header="0.5" footer="0.5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="85" zoomScaleNormal="85" workbookViewId="0">
      <selection activeCell="D27" sqref="D27"/>
    </sheetView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52" customWidth="1"/>
    <col min="5" max="5" width="15" customWidth="1"/>
    <col min="6" max="6" width="24" customWidth="1"/>
    <col min="7" max="7" width="21" customWidth="1"/>
  </cols>
  <sheetData>
    <row r="1" spans="1:7" ht="20" x14ac:dyDescent="0.35">
      <c r="A1" s="31" t="s">
        <v>54</v>
      </c>
      <c r="B1" s="32"/>
      <c r="C1" s="32"/>
      <c r="D1" s="32"/>
      <c r="E1" s="32"/>
      <c r="F1" s="32"/>
      <c r="G1" s="32"/>
    </row>
    <row r="3" spans="1:7" x14ac:dyDescent="0.35">
      <c r="A3" s="1" t="s">
        <v>30</v>
      </c>
      <c r="B3" s="1" t="s">
        <v>0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4</v>
      </c>
    </row>
    <row r="4" spans="1:7" x14ac:dyDescent="0.35">
      <c r="A4" s="2" t="s">
        <v>46</v>
      </c>
      <c r="B4" s="10" t="s">
        <v>7</v>
      </c>
      <c r="C4" s="3">
        <v>336</v>
      </c>
      <c r="D4" s="4">
        <f>C4/VLOOKUP(A4,'Paddock &amp; Crop Log'!B:C,2,FALSE)</f>
        <v>2.8</v>
      </c>
      <c r="E4" s="10" t="s">
        <v>59</v>
      </c>
      <c r="F4" s="5">
        <v>340</v>
      </c>
      <c r="G4" s="5">
        <f>C4*F4</f>
        <v>114240</v>
      </c>
    </row>
    <row r="5" spans="1:7" x14ac:dyDescent="0.35">
      <c r="A5" s="2" t="s">
        <v>51</v>
      </c>
      <c r="B5" s="10" t="s">
        <v>8</v>
      </c>
      <c r="C5" s="3">
        <v>630</v>
      </c>
      <c r="D5" s="4">
        <f>C5/VLOOKUP(A5,'Paddock &amp; Crop Log'!B:C,2,FALSE)</f>
        <v>4.2</v>
      </c>
      <c r="E5" s="10" t="s">
        <v>60</v>
      </c>
      <c r="F5" s="5">
        <v>290</v>
      </c>
      <c r="G5" s="5">
        <f>C5*F5</f>
        <v>182700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E9FE-4C9A-413C-89C7-164164E1F1C1}">
  <dimension ref="B2:U10"/>
  <sheetViews>
    <sheetView workbookViewId="0">
      <selection activeCell="T7" sqref="T7"/>
    </sheetView>
  </sheetViews>
  <sheetFormatPr defaultRowHeight="14.5" x14ac:dyDescent="0.35"/>
  <cols>
    <col min="2" max="2" width="21.54296875" bestFit="1" customWidth="1"/>
    <col min="3" max="3" width="14.6328125" bestFit="1" customWidth="1"/>
    <col min="5" max="5" width="14.6328125" bestFit="1" customWidth="1"/>
  </cols>
  <sheetData>
    <row r="2" spans="2:21" x14ac:dyDescent="0.35">
      <c r="C2" s="14" t="s">
        <v>97</v>
      </c>
      <c r="E2" s="14" t="s">
        <v>98</v>
      </c>
      <c r="G2" s="14" t="s">
        <v>99</v>
      </c>
      <c r="I2" s="14" t="s">
        <v>100</v>
      </c>
      <c r="K2" s="14" t="s">
        <v>101</v>
      </c>
      <c r="M2" s="14" t="s">
        <v>102</v>
      </c>
      <c r="O2" s="14" t="s">
        <v>103</v>
      </c>
      <c r="Q2" s="14" t="s">
        <v>104</v>
      </c>
      <c r="S2" s="14" t="s">
        <v>105</v>
      </c>
      <c r="U2" s="14" t="s">
        <v>106</v>
      </c>
    </row>
    <row r="3" spans="2:21" x14ac:dyDescent="0.35">
      <c r="B3" s="14" t="s">
        <v>107</v>
      </c>
      <c r="C3">
        <v>120</v>
      </c>
      <c r="E3">
        <v>120</v>
      </c>
      <c r="G3">
        <v>120</v>
      </c>
      <c r="I3">
        <v>120</v>
      </c>
      <c r="K3">
        <v>120</v>
      </c>
      <c r="M3">
        <v>120</v>
      </c>
      <c r="O3">
        <v>120</v>
      </c>
      <c r="Q3">
        <v>120</v>
      </c>
      <c r="S3">
        <v>120</v>
      </c>
      <c r="U3">
        <v>120</v>
      </c>
    </row>
    <row r="4" spans="2:21" x14ac:dyDescent="0.35">
      <c r="B4" s="14" t="s">
        <v>108</v>
      </c>
      <c r="C4" t="s">
        <v>7</v>
      </c>
      <c r="E4" t="s">
        <v>7</v>
      </c>
      <c r="G4" t="s">
        <v>7</v>
      </c>
      <c r="I4" t="s">
        <v>7</v>
      </c>
      <c r="K4" t="s">
        <v>7</v>
      </c>
      <c r="M4" t="s">
        <v>8</v>
      </c>
      <c r="O4" t="s">
        <v>8</v>
      </c>
      <c r="Q4" t="s">
        <v>8</v>
      </c>
      <c r="S4" t="s">
        <v>8</v>
      </c>
      <c r="U4" t="s">
        <v>8</v>
      </c>
    </row>
    <row r="5" spans="2:21" x14ac:dyDescent="0.35">
      <c r="B5" s="14" t="s">
        <v>109</v>
      </c>
      <c r="C5">
        <v>110</v>
      </c>
      <c r="E5">
        <v>100</v>
      </c>
    </row>
    <row r="6" spans="2:21" x14ac:dyDescent="0.35">
      <c r="B6" s="14" t="s">
        <v>110</v>
      </c>
      <c r="C6" s="2" t="s">
        <v>46</v>
      </c>
      <c r="E6" s="2" t="s">
        <v>46</v>
      </c>
    </row>
    <row r="7" spans="2:21" x14ac:dyDescent="0.35">
      <c r="B7" s="14" t="s">
        <v>111</v>
      </c>
      <c r="C7" s="24">
        <v>0.14699999999999999</v>
      </c>
      <c r="E7" s="24">
        <v>0.14399999999999999</v>
      </c>
    </row>
    <row r="8" spans="2:21" x14ac:dyDescent="0.35">
      <c r="B8" s="14" t="s">
        <v>113</v>
      </c>
      <c r="C8" s="13">
        <v>400</v>
      </c>
      <c r="D8" s="13"/>
      <c r="E8" s="13">
        <v>400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2:21" x14ac:dyDescent="0.35">
      <c r="B9" s="14" t="s">
        <v>112</v>
      </c>
      <c r="C9" s="13">
        <f>SUM(C5*C8)</f>
        <v>44000</v>
      </c>
      <c r="D9" s="13"/>
      <c r="E9" s="13">
        <f t="shared" ref="E9" si="0">SUM(E5*E8)</f>
        <v>40000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2:21" x14ac:dyDescent="0.35">
      <c r="B10" s="14" t="s">
        <v>114</v>
      </c>
      <c r="C10" t="s">
        <v>115</v>
      </c>
      <c r="E10" t="s">
        <v>116</v>
      </c>
      <c r="M10" t="s">
        <v>115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 Summary</vt:lpstr>
      <vt:lpstr>Asset Management</vt:lpstr>
      <vt:lpstr>Paddock &amp; Crop Log</vt:lpstr>
      <vt:lpstr>Chemical Records</vt:lpstr>
      <vt:lpstr>Harvest Plan &amp; Inputs</vt:lpstr>
      <vt:lpstr>Harvest Ledger</vt:lpstr>
      <vt:lpstr>Silo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Whittaker</cp:lastModifiedBy>
  <dcterms:created xsi:type="dcterms:W3CDTF">2026-07-16T02:12:56Z</dcterms:created>
  <dcterms:modified xsi:type="dcterms:W3CDTF">2026-07-16T05:06:05Z</dcterms:modified>
</cp:coreProperties>
</file>